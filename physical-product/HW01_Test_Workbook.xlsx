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19fec294d34b86" /></Relationships>
</file>

<file path=xl/workbook.xml><?xml version="1.0" encoding="utf-8"?>
<x:workbook xmlns:x="http://schemas.openxmlformats.org/spreadsheetml/2006/main">
  <x:sheets>
    <x:sheet xmlns:r="http://schemas.openxmlformats.org/officeDocument/2006/relationships" name="Test_Cases" sheetId="1" r:id="R854b317c6125485e"/>
    <x:sheet xmlns:r="http://schemas.openxmlformats.org/officeDocument/2006/relationships" name="Checklist" sheetId="2" r:id="R7703f88bb0ea41d8"/>
    <x:sheet xmlns:r="http://schemas.openxmlformats.org/officeDocument/2006/relationships" name="Test_Summary" sheetId="3" r:id="R6ba39f80c27f4d80"/>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1F4E78"/>
      <x:name val="Arial"/>
    </x:font>
    <x:font>
      <x:i/>
      <x:sz val="10"/>
      <x:color rgb="FF555555"/>
      <x:name val="Arial"/>
    </x:font>
    <x:font>
      <x:b/>
      <x:sz val="10"/>
      <x:color rgb="FF7F6000"/>
      <x:name val="Arial"/>
    </x:font>
    <x:font>
      <x:b/>
      <x:sz val="10"/>
      <x:color rgb="FF222222"/>
      <x:name val="Arial"/>
    </x:font>
    <x:font>
      <x:sz val="10"/>
      <x:color rgb="FF222222"/>
      <x:name val="Arial"/>
    </x:font>
    <x:font>
      <x:i/>
      <x:sz val="10"/>
      <x:color rgb="FF222222"/>
      <x:name val="Arial"/>
    </x:font>
    <x:font>
      <x:b/>
      <x:sz val="10"/>
      <x:color rgb="FFFFFFFF"/>
      <x:name val="Arial"/>
    </x:font>
    <x:font>
      <x:b/>
      <x:sz val="10"/>
      <x:color rgb="FF1F4E78"/>
      <x:name val="Arial"/>
    </x:font>
    <x:font>
      <x:b/>
      <x:sz val="11"/>
      <x:color rgb="FF1F4E78"/>
      <x:name val="Arial"/>
    </x:font>
  </x:fonts>
  <x:fills count="4">
    <x:fill>
      <x:patternFill patternType="none"/>
    </x:fill>
    <x:fill>
      <x:patternFill patternType="gray125"/>
    </x:fill>
    <x:fill>
      <x:patternFill patternType="solid">
        <x:fgColor rgb="FFFFF2CC"/>
      </x:patternFill>
    </x:fill>
    <x:fill>
      <x:patternFill patternType="solid">
        <x:fgColor rgb="FF1F4E78"/>
      </x:patternFill>
    </x:fill>
  </x:fills>
  <x:borders count="3">
    <x:border/>
    <x:border>
      <x:left style="thin">
        <x:color rgb="FFFFFFFF"/>
      </x:left>
      <x:right style="thin">
        <x:color rgb="FFFFFFFF"/>
      </x:right>
      <x:top style="thin">
        <x:color rgb="FFFFFFFF"/>
      </x:top>
      <x:bottom style="thin">
        <x:color rgb="FFFFFFFF"/>
      </x:bottom>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4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4" fillId="2" borderId="0" xfId="0" applyNumberFormat="1" applyFont="1" applyFill="1" applyBorder="1" applyAlignment="1">
      <x:alignment wrapText="1"/>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1" xfId="0" applyNumberFormat="1" applyFont="1" applyFill="1" applyBorder="1" applyAlignment="1">
      <x:alignment vertical="center"/>
    </x:xf>
    <x:xf numFmtId="0" fontId="7" fillId="3" borderId="1" xfId="0" applyNumberFormat="1" applyFont="1" applyFill="1" applyBorder="1" applyAlignment="1">
      <x:alignment vertical="center" wrapText="1"/>
    </x:xf>
    <x:xf numFmtId="0" fontId="7" fillId="3" borderId="1"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0" fillId="3" borderId="0" xfId="0" applyNumberFormat="1" applyFont="1" applyFill="1" applyBorder="1"/>
    <x:xf numFmtId="0" fontId="7" fillId="3" borderId="0"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5" fillId="0" borderId="2" xfId="0" applyNumberFormat="1" applyFont="1" applyFill="1" applyBorder="1" applyAlignment="1">
      <x:alignment vertical="center" wrapText="1"/>
    </x:xf>
    <x:xf numFmtId="0" fontId="5" fillId="2" borderId="2" xfId="0" applyNumberFormat="1" applyFont="1" applyFill="1" applyBorder="1" applyAlignment="1">
      <x:alignment vertical="center" wrapText="1"/>
    </x:xf>
    <x:xf numFmtId="0" fontId="5" fillId="0" borderId="2" xfId="0" applyNumberFormat="1" applyFont="1" applyFill="1" applyBorder="1" applyAlignment="1">
      <x:alignment vertical="center"/>
    </x:xf>
    <x:xf numFmtId="0" fontId="5" fillId="2" borderId="2" xfId="0" applyNumberFormat="1" applyFont="1" applyFill="1" applyBorder="1" applyAlignment="1">
      <x:alignment vertical="center"/>
    </x:xf>
    <x:xf numFmtId="0" fontId="0" fillId="0" borderId="2" xfId="0" applyNumberFormat="1" applyFont="1" applyFill="1" applyBorder="1"/>
    <x:xf numFmtId="0" fontId="9" fillId="0" borderId="2" xfId="0" applyNumberFormat="1" applyFont="1" applyFill="1" applyBorder="1"/>
    <x:xf numFmtId="0" fontId="0" fillId="2" borderId="2" xfId="0" applyNumberFormat="1" applyFont="1" applyFill="1" applyBorder="1"/>
    <x:xf numFmtId="0" fontId="5" fillId="0" borderId="2" xfId="0" applyNumberFormat="1" applyFont="1" applyFill="1" applyBorder="1"/>
    <x:xf numFmtId="0" fontId="4" fillId="0" borderId="2" xfId="0" applyNumberFormat="1" applyFont="1" applyFill="1" applyBorder="1"/>
    <x:xf numFmtId="0" fontId="5" fillId="2" borderId="2" xfId="0" applyNumberFormat="1" applyFont="1" applyFill="1" applyBorder="1"/>
    <x:xf numFmtId="0" fontId="4" fillId="0" borderId="2" xfId="0" applyNumberFormat="1" applyFont="1" applyFill="1" applyBorder="1" applyAlignment="1">
      <x:alignment vertical="center"/>
    </x:xf>
    <x:xf numFmtId="0" fontId="4" fillId="0" borderId="2" xfId="0" applyNumberFormat="1" applyFont="1" applyFill="1" applyBorder="1" applyAlignment="1">
      <x:alignment vertical="center" wrapText="1"/>
    </x:xf>
  </x:cellXfs>
  <x:cellStyles count="1">
    <x:cellStyle name="Normal" xfId="0"/>
  </x:cellStyles>
  <x:dxfs count="6">
    <x:dxf>
      <x:font>
        <x:b/>
        <x:color rgb="FF375623"/>
      </x:font>
      <x:fill>
        <x:patternFill>
          <x:bgColor rgb="FFE2F0D9"/>
        </x:patternFill>
      </x:fill>
    </x:dxf>
    <x:dxf>
      <x:font>
        <x:b/>
        <x:color rgb="FF9C0006"/>
      </x:font>
      <x:fill>
        <x:patternFill>
          <x:bgColor rgb="FFFCE8E6"/>
        </x:patternFill>
      </x:fill>
    </x:dxf>
    <x:dxf>
      <x:font>
        <x:color rgb="FF595959"/>
      </x:font>
      <x:fill>
        <x:patternFill>
          <x:bgColor rgb="FFE7E6E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71a66cc25c45c5" /><Relationship Type="http://schemas.openxmlformats.org/officeDocument/2006/relationships/theme" Target="/xl/theme/theme1.xml" Id="Rb0867f48505d4b62" /><Relationship Type="http://schemas.openxmlformats.org/officeDocument/2006/relationships/sharedStrings" Target="/xl/sharedStrings.xml" Id="R25237a75f07c4e79" /><Relationship Type="http://schemas.openxmlformats.org/officeDocument/2006/relationships/worksheet" Target="/xl/worksheets/sheet1.xml" Id="R854b317c6125485e" /><Relationship Type="http://schemas.openxmlformats.org/officeDocument/2006/relationships/worksheet" Target="/xl/worksheets/sheet2.xml" Id="R7703f88bb0ea41d8" /><Relationship Type="http://schemas.openxmlformats.org/officeDocument/2006/relationships/worksheet" Target="/xl/worksheets/sheet3.xml" Id="R6ba39f80c27f4d80" /></Relationships>
</file>

<file path=xl/tables/table1.xml><?xml version="1.0" encoding="utf-8"?>
<x:table xmlns:x="http://schemas.openxmlformats.org/spreadsheetml/2006/main" id="1" name="TestCasesTable" displayName="TestCasesTable" ref="A5:M20" headerRowCount="1" totalsRowCount="0" totalsRowShown="0">
  <x:tableColumns count="13">
    <x:tableColumn id="1" name="Test Case ID"/>
    <x:tableColumn id="2" name="Title"/>
    <x:tableColumn id="3" name="Objective"/>
    <x:tableColumn id="4" name="Preconditions"/>
    <x:tableColumn id="5" name="Input"/>
    <x:tableColumn id="6" name="Steps"/>
    <x:tableColumn id="7" name="Expected Result"/>
    <x:tableColumn id="8" name="Actual Result"/>
    <x:tableColumn id="9" name="Verdict"/>
    <x:tableColumn id="10" name="Source"/>
    <x:tableColumn id="11" name="Edge Case ID"/>
    <x:tableColumn id="12" name="Video ID"/>
    <x:tableColumn id="13" name="Issue ID/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d79b8010054dcc" /></Relationships>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5"/>
  <x:cols>
    <x:col min="1" max="1" width="12" hidden="0" customWidth="1"/>
    <x:col min="2" max="2" width="24" hidden="0" customWidth="1"/>
    <x:col min="3" max="3" width="34" hidden="0" customWidth="1"/>
    <x:col min="4" max="4" width="38" hidden="0" customWidth="1"/>
    <x:col min="5" max="5" width="30" hidden="0" customWidth="1"/>
    <x:col min="6" max="6" width="52" hidden="0" customWidth="1"/>
    <x:col min="7" max="7" width="48" hidden="0" customWidth="1"/>
    <x:col min="8" max="8" width="28" hidden="0" customWidth="1"/>
    <x:col min="9" max="9" width="16" hidden="0" customWidth="1"/>
    <x:col min="10" max="10" width="18" hidden="0" customWidth="1"/>
    <x:col min="11" max="11" width="14" hidden="0" customWidth="1"/>
    <x:col min="12" max="12" width="12" hidden="0" customWidth="1"/>
    <x:col min="13" max="13" width="24" hidden="0" customWidth="1"/>
  </x:cols>
  <x:sheetData>
    <x:row r="1" ht="26" customHeight="1">
      <x:c r="A1" s="14" t="str">
        <x:v>Physical Appliance Test Cases</x:v>
      </x:c>
      <x:c r="B1" s="11"/>
      <x:c r="C1" s="11"/>
      <x:c r="D1" s="11"/>
      <x:c r="E1" s="11"/>
      <x:c r="F1" s="11"/>
      <x:c r="G1" s="11"/>
      <x:c r="H1" s="11"/>
      <x:c r="I1" s="11"/>
      <x:c r="J1" s="11"/>
      <x:c r="K1" s="11"/>
      <x:c r="L1" s="11"/>
      <x:c r="M1" s="11"/>
    </x:row>
    <x:row r="2" ht="26" customHeight="1">
      <x:c r="A2" s="15" t="str">
        <x:v>Device: Senko B113 standing fan | Year: 2021 | Serial: not found on the device</x:v>
      </x:c>
      <x:c r="B2" s="11"/>
      <x:c r="C2" s="11"/>
      <x:c r="D2" s="11"/>
      <x:c r="E2" s="11"/>
      <x:c r="F2" s="11"/>
      <x:c r="G2" s="11"/>
      <x:c r="H2" s="11"/>
      <x:c r="I2" s="11"/>
      <x:c r="J2" s="11"/>
      <x:c r="K2" s="11"/>
      <x:c r="L2" s="11"/>
      <x:c r="M2" s="11"/>
    </x:row>
    <x:row r="3" ht="42" customHeight="1">
      <x:c r="A3" s="13" t="str">
        <x:v>Test set: 12 AI-generated initial cases and 3 student edge cases. Five PASS videos and five GitHub Issues are available; the three executed edge-case verdicts are pending.</x:v>
      </x:c>
      <x:c r="B3" s="13"/>
      <x:c r="C3" s="13"/>
      <x:c r="D3" s="13"/>
      <x:c r="E3" s="13"/>
      <x:c r="F3" s="13"/>
      <x:c r="G3" s="13"/>
      <x:c r="H3" s="13"/>
      <x:c r="I3" s="13"/>
      <x:c r="J3" s="13"/>
      <x:c r="K3" s="13"/>
      <x:c r="L3" s="13"/>
      <x:c r="M3" s="13"/>
    </x:row>
    <x:row r="4">
      <x:c r="A4" s="11"/>
      <x:c r="B4" s="11"/>
      <x:c r="C4" s="11"/>
      <x:c r="D4" s="11"/>
      <x:c r="E4" s="11"/>
      <x:c r="F4" s="11"/>
      <x:c r="G4" s="11"/>
      <x:c r="H4" s="11"/>
      <x:c r="I4" s="11"/>
      <x:c r="J4" s="11"/>
      <x:c r="K4" s="11"/>
      <x:c r="L4" s="11"/>
      <x:c r="M4" s="11"/>
    </x:row>
    <x:row r="5" ht="24" hidden="0" customHeight="1">
      <x:c r="A5" s="20" t="str">
        <x:v>Test Case ID</x:v>
      </x:c>
      <x:c r="B5" s="20" t="str">
        <x:v>Title</x:v>
      </x:c>
      <x:c r="C5" s="20" t="str">
        <x:v>Objective</x:v>
      </x:c>
      <x:c r="D5" s="20" t="str">
        <x:v>Preconditions</x:v>
      </x:c>
      <x:c r="E5" s="20" t="str">
        <x:v>Input</x:v>
      </x:c>
      <x:c r="F5" s="20" t="str">
        <x:v>Steps</x:v>
      </x:c>
      <x:c r="G5" s="20" t="str">
        <x:v>Expected Result</x:v>
      </x:c>
      <x:c r="H5" s="20" t="str">
        <x:v>Actual Result</x:v>
      </x:c>
      <x:c r="I5" s="20" t="str">
        <x:v>Verdict</x:v>
      </x:c>
      <x:c r="J5" s="20" t="str">
        <x:v>Source</x:v>
      </x:c>
      <x:c r="K5" s="20" t="str">
        <x:v>Edge Case ID</x:v>
      </x:c>
      <x:c r="L5" s="20" t="str">
        <x:v>Video ID</x:v>
      </x:c>
      <x:c r="M5" s="20" t="str">
        <x:v>Issue ID/URL</x:v>
      </x:c>
    </x:row>
    <x:row r="6" ht="180" hidden="0" customHeight="1">
      <x:c r="A6" s="25" t="str">
        <x:v>TC-01</x:v>
      </x:c>
      <x:c r="B6" s="23" t="str">
        <x:v>Start at speed 1</x:v>
      </x:c>
      <x:c r="C6" s="23" t="str">
        <x:v>Verify normal start at the lowest speed.</x:v>
      </x:c>
      <x:c r="D6" s="23" t="str">
        <x:v>Fan is assembled, upright on a dry level floor, oscillation off, and connected to a normal outlet.</x:v>
      </x:c>
      <x:c r="E6" s="23" t="str">
        <x:v>Speed button 1</x:v>
      </x:c>
      <x:c r="F6" s="23" t="str">
        <x:v>1. Stand clear of the grille.
2. Press speed button 1.
3. Observe blade rotation, airflow, noise and base movement for 15 seconds.</x:v>
      </x:c>
      <x:c r="G6" s="23" t="str">
        <x:v>The fan starts promptly at low speed, produces steady airflow and has no scraping sound, excessive vibration or base movement.</x:v>
      </x:c>
      <x:c r="H6" s="24" t="str">
        <x:v>The fan started promptly at speed 1, produced steady airflow, and showed no abnormal scraping, excessive vibration or base movement.</x:v>
      </x:c>
      <x:c r="I6" s="24" t="str">
        <x:v>PASS</x:v>
      </x:c>
      <x:c r="J6" s="24" t="str">
        <x:v>AI initial batch</x:v>
      </x:c>
      <x:c r="K6" s="24" t="str"/>
      <x:c r="L6" s="24" t="str">
        <x:v>VID-01</x:v>
      </x:c>
      <x:c r="M6" s="24" t="str"/>
    </x:row>
    <x:row r="7" ht="168" hidden="0" customHeight="1">
      <x:c r="A7" s="25" t="str">
        <x:v>TC-02</x:v>
      </x:c>
      <x:c r="B7" s="23" t="str">
        <x:v>Differentiate three speed levels</x:v>
      </x:c>
      <x:c r="C7" s="23" t="str">
        <x:v>Verify that the three speed buttons produce distinguishable airflow levels.</x:v>
      </x:c>
      <x:c r="D7" s="23" t="str">
        <x:v>Fan is upright, oscillation off, with a light paper strip positioned at a fixed safe distance in front of the grille.</x:v>
      </x:c>
      <x:c r="E7" s="23" t="str">
        <x:v>Speed buttons 1, 2 and 3</x:v>
      </x:c>
      <x:c r="F7" s="23" t="str">
        <x:v>1. Run speed 1 for 10 seconds and observe the paper strip.
2. Repeat at speed 2.
3. Repeat at speed 3 without changing the strip position.</x:v>
      </x:c>
      <x:c r="G7" s="23" t="str">
        <x:v>Each button produces a stable operating level, and the observed airflow increases from level 1 to level 2 to level 3.</x:v>
      </x:c>
      <x:c r="H7" s="24" t="str">
        <x:v>The three speed levels were distinguishable; airflow increased from speed 1 to speed 2 to speed 3.</x:v>
      </x:c>
      <x:c r="I7" s="24" t="str">
        <x:v>PASS</x:v>
      </x:c>
      <x:c r="J7" s="24" t="str">
        <x:v>AI initial batch</x:v>
      </x:c>
      <x:c r="K7" s="24" t="str"/>
      <x:c r="L7" s="24" t="str">
        <x:v>VID-02</x:v>
      </x:c>
      <x:c r="M7" s="24" t="str"/>
    </x:row>
    <x:row r="8" ht="336" hidden="0" customHeight="1">
      <x:c r="A8" s="25" t="str">
        <x:v>TC-03</x:v>
      </x:c>
      <x:c r="B8" s="23" t="str">
        <x:v>Partial actuation of speed button</x:v>
      </x:c>
      <x:c r="C8" s="23" t="str">
        <x:v>Assess behavior when a speed button is only partly depressed before its mechanical lock engages.</x:v>
      </x:c>
      <x:c r="D8" s="23" t="str">
        <x:v>Fan is upright and initially OFF. Manufacturer guidance or an approved safe test method is required before powered execution.</x:v>
      </x:c>
      <x:c r="E8" s="23" t="str">
        <x:v>Speed button 2 at approximately 50% travel</x:v>
      </x:c>
      <x:c r="F8" s="23" t="str">
        <x:v>1. Review the product manual and button mechanism.
2. Do not perform the powered test unless the method is confirmed safe.
3. If authorized, depress toward the pre-lock position, stop immediately for hum, heat, smell or sparking, then release and observe return movement.</x:v>
      </x:c>
      <x:c r="G8" s="23" t="str">
        <x:v>The control returns to OFF without sticking. No motor stutter, abnormal hum, heat, smell or sparking occurs. The case remains blocked from powered execution until safety is confirmed.</x:v>
      </x:c>
      <x:c r="H8" s="24" t="str">
        <x:v>The speed button returned to the OFF position without sticking.</x:v>
      </x:c>
      <x:c r="I8" s="24" t="str">
        <x:v>PASS</x:v>
      </x:c>
      <x:c r="J8" s="24" t="str">
        <x:v>Student edge case</x:v>
      </x:c>
      <x:c r="K8" s="24" t="str">
        <x:v>EC-01</x:v>
      </x:c>
      <x:c r="L8" s="24"/>
      <x:c r="M8" s="24" t="str"/>
    </x:row>
    <x:row r="9" ht="132" hidden="0" customHeight="1">
      <x:c r="A9" s="25" t="str">
        <x:v>TC-04</x:v>
      </x:c>
      <x:c r="B9" s="23" t="str">
        <x:v>Stop using the OFF button</x:v>
      </x:c>
      <x:c r="C9" s="23" t="str">
        <x:v>Verify that the OFF button stops normal operation.</x:v>
      </x:c>
      <x:c r="D9" s="23" t="str">
        <x:v>Fan is running at speed 2 with oscillation off.</x:v>
      </x:c>
      <x:c r="E9" s="23" t="str">
        <x:v>OFF button</x:v>
      </x:c>
      <x:c r="F9" s="23" t="str">
        <x:v>1. Press the OFF button.
2. Observe the blades until they stop.
3. Wait 10 seconds for unintended restart.</x:v>
      </x:c>
      <x:c r="G9" s="23" t="str">
        <x:v>Power to the motor is removed, the blades coast to a complete stop and the fan does not restart by itself.</x:v>
      </x:c>
      <x:c r="H9" s="24" t="str">
        <x:v>Pressing OFF removed motor power; the blades coasted to a complete stop and the fan did not restart during the observation period.</x:v>
      </x:c>
      <x:c r="I9" s="24" t="str">
        <x:v>PASS</x:v>
      </x:c>
      <x:c r="J9" s="24" t="str">
        <x:v>AI initial batch</x:v>
      </x:c>
      <x:c r="K9" s="24" t="str"/>
      <x:c r="L9" s="24" t="str">
        <x:v>VID-03</x:v>
      </x:c>
      <x:c r="M9" s="24" t="str"/>
    </x:row>
    <x:row r="10" ht="216" hidden="0" customHeight="1">
      <x:c r="A10" s="25" t="str">
        <x:v>TC-05</x:v>
      </x:c>
      <x:c r="B10" s="23" t="str">
        <x:v>Speed button interlock</x:v>
      </x:c>
      <x:c r="C10" s="23" t="str">
        <x:v>Verify that selecting a new speed replaces the previous selection.</x:v>
      </x:c>
      <x:c r="D10" s="23" t="str">
        <x:v>Fan is upright, oscillation off and initially stopped.</x:v>
      </x:c>
      <x:c r="E10" s="23" t="str">
        <x:v>Button sequence 1, then 2</x:v>
      </x:c>
      <x:c r="F10" s="23" t="str">
        <x:v>1. Press speed button 1 and confirm it is engaged.
2. Press speed button 2.
3. Observe how quickly button 1 returns to its released position.</x:v>
      </x:c>
      <x:c r="G10" s="23" t="str">
        <x:v>Only the most recently selected speed remains active, the earlier speed button releases, and the fan changes level without stopping unexpectedly.</x:v>
      </x:c>
      <x:c r="H10" s="24" t="str">
        <x:v>When speed button 2 is pressed while button 1 is active, button 1 remains partly depressed for about 1–2 seconds before releasing.</x:v>
      </x:c>
      <x:c r="I10" s="24" t="str">
        <x:v>FAIL</x:v>
      </x:c>
      <x:c r="J10" s="24" t="str">
        <x:v>AI initial batch</x:v>
      </x:c>
      <x:c r="K10" s="24" t="str"/>
      <x:c r="L10" s="24"/>
      <x:c r="M10" s="24" t="str">
        <x:v>https://github.com/bingsu1103/23120205-HW01-QA/issues/2</x:v>
      </x:c>
    </x:row>
    <x:row r="11" ht="192" hidden="0" customHeight="1">
      <x:c r="A11" s="25" t="str">
        <x:v>TC-06</x:v>
      </x:c>
      <x:c r="B11" s="23" t="str">
        <x:v>Enable horizontal oscillation</x:v>
      </x:c>
      <x:c r="C11" s="23" t="str">
        <x:v>Verify that the oscillation control starts horizontal head movement.</x:v>
      </x:c>
      <x:c r="D11" s="23" t="str">
        <x:v>Fan is running at speed 1, positioned with clear space around the head.</x:v>
      </x:c>
      <x:c r="E11" s="23" t="str">
        <x:v>Oscillation control ON</x:v>
      </x:c>
      <x:c r="F11" s="23" t="str">
        <x:v>1. Activate the oscillation control.
2. Observe one complete left-to-right-to-left cycle.
3. Listen for abnormal mechanical noise.</x:v>
      </x:c>
      <x:c r="G11" s="23" t="str">
        <x:v>The head sweeps smoothly through its normal horizontal range, reverses direction without sticking and produces no abnormal clicking or grinding.</x:v>
      </x:c>
      <x:c r="H11" s="24" t="str">
        <x:v>At both sweep reversal points, the fan head stutters slightly and produces a sharp mechanical click.</x:v>
      </x:c>
      <x:c r="I11" s="24" t="str">
        <x:v>FAIL</x:v>
      </x:c>
      <x:c r="J11" s="24" t="str">
        <x:v>AI initial batch</x:v>
      </x:c>
      <x:c r="K11" s="24" t="str"/>
      <x:c r="L11" s="24"/>
      <x:c r="M11" s="24" t="str">
        <x:v>https://github.com/bingsu1103/23120205-HW01-QA/issues/3</x:v>
      </x:c>
    </x:row>
    <x:row r="12" ht="276" hidden="0" customHeight="1">
      <x:c r="A12" s="25" t="str">
        <x:v>TC-07</x:v>
      </x:c>
      <x:c r="B12" s="23" t="str">
        <x:v>Obstruction during horizontal oscillation</x:v>
      </x:c>
      <x:c r="C12" s="23" t="str">
        <x:v>Assess protection behavior if an external object prevents the head from completing its oscillation sweep.</x:v>
      </x:c>
      <x:c r="D12" s="23" t="str">
        <x:v>The powered test is not approved for hand contact. Manufacturer guidance and a guarded, force-limited fixture are required.</x:v>
      </x:c>
      <x:c r="E12" s="23" t="str">
        <x:v>Controlled external obstruction in the oscillation path</x:v>
      </x:c>
      <x:c r="F12" s="23" t="str">
        <x:v>1. Review the manual for obstruction and clutch behavior.
2. Do not hold the grille or powered fan head by hand.
3. Execute only with an approved guarded, force-limited method; otherwise record the case as not executed.</x:v>
      </x:c>
      <x:c r="G12" s="23" t="str">
        <x:v>The device avoids hazardous force, overheating and permanent damage, and returns to normal oscillation after the obstruction is removed. No clutch behavior or sound is assumed without manufacturer documentation.</x:v>
      </x:c>
      <x:c r="H12" s="24" t="str">
        <x:v>An abnormal jammed mechanical sound occurred while the oscillation path was obstructed; normal operation resumed after the obstruction was removed.</x:v>
      </x:c>
      <x:c r="I12" s="24" t="str">
        <x:v>FAIL</x:v>
      </x:c>
      <x:c r="J12" s="24" t="str">
        <x:v>Student edge case</x:v>
      </x:c>
      <x:c r="K12" s="24" t="str">
        <x:v>EC-02</x:v>
      </x:c>
      <x:c r="L12" s="24"/>
      <x:c r="M12" s="24" t="str">
        <x:v>https://github.com/bingsu1103/23120205-HW01-QA/issues/6</x:v>
      </x:c>
    </x:row>
    <x:row r="13" ht="180" hidden="0" customHeight="1">
      <x:c r="A13" s="25" t="str">
        <x:v>TC-08</x:v>
      </x:c>
      <x:c r="B13" s="23" t="str">
        <x:v>Change speed during oscillation</x:v>
      </x:c>
      <x:c r="C13" s="23" t="str">
        <x:v>Verify that speed selection works without interrupting active oscillation.</x:v>
      </x:c>
      <x:c r="D13" s="23" t="str">
        <x:v>Fan is oscillating normally at speed 1 with clear surrounding space.</x:v>
      </x:c>
      <x:c r="E13" s="23" t="str">
        <x:v>Button sequence 1, 2, 3 while oscillating</x:v>
      </x:c>
      <x:c r="F13" s="23" t="str">
        <x:v>1. Observe oscillation at speed 1.
2. Press speed 2 and observe.
3. Press speed 3 and observe one further sweep.</x:v>
      </x:c>
      <x:c r="G13" s="23" t="str">
        <x:v>Airflow changes at each selection while oscillation continues smoothly without stopping, sticking or changing its normal sweep range.</x:v>
      </x:c>
      <x:c r="H13" s="24" t="str">
        <x:v>Airflow changed at speeds 1, 2 and 3 while oscillation continued without stopping or sticking.</x:v>
      </x:c>
      <x:c r="I13" s="24" t="str">
        <x:v>PASS</x:v>
      </x:c>
      <x:c r="J13" s="24" t="str">
        <x:v>AI initial batch</x:v>
      </x:c>
      <x:c r="K13" s="24" t="str"/>
      <x:c r="L13" s="24" t="str">
        <x:v>VID-04</x:v>
      </x:c>
      <x:c r="M13" s="24" t="str"/>
    </x:row>
    <x:row r="14" ht="228" hidden="0" customHeight="1">
      <x:c r="A14" s="25" t="str">
        <x:v>TC-09</x:v>
      </x:c>
      <x:c r="B14" s="23" t="str">
        <x:v>Adjust and retain vertical tilt</x:v>
      </x:c>
      <x:c r="C14" s="23" t="str">
        <x:v>Verify that supported vertical tilt positions can be set and retained during operation.</x:v>
      </x:c>
      <x:c r="D14" s="23" t="str">
        <x:v>Fan is stopped and unplugged before the head is adjusted.</x:v>
      </x:c>
      <x:c r="E14" s="23" t="str">
        <x:v>Maximum upward tilt and speed 3 for 3 minutes</x:v>
      </x:c>
      <x:c r="F14" s="23" t="str">
        <x:v>1. Unplug the fan.
2. Set the head to its maximum supported upward tilt.
3. Reconnect power and select speed 3.
4. Observe and compare the tilt position after 3 minutes.</x:v>
      </x:c>
      <x:c r="G14" s="23" t="str">
        <x:v>The head remains at the selected maximum upward tilt and does not drop or drift during the 3-minute run.</x:v>
      </x:c>
      <x:c r="H14" s="24" t="str">
        <x:v>At maximum upward tilt and speed 3, the fan head drops downward by one position after approximately 3 minutes.</x:v>
      </x:c>
      <x:c r="I14" s="24" t="str">
        <x:v>FAIL</x:v>
      </x:c>
      <x:c r="J14" s="24" t="str">
        <x:v>AI initial batch</x:v>
      </x:c>
      <x:c r="K14" s="24" t="str"/>
      <x:c r="L14" s="24"/>
      <x:c r="M14" s="24" t="str">
        <x:v>https://github.com/bingsu1103/23120205-HW01-QA/issues/4</x:v>
      </x:c>
    </x:row>
    <x:row r="15" ht="192" hidden="0" customHeight="1">
      <x:c r="A15" s="25" t="str">
        <x:v>TC-10</x:v>
      </x:c>
      <x:c r="B15" s="23" t="str">
        <x:v>Base stability at speed 3</x:v>
      </x:c>
      <x:c r="C15" s="23" t="str">
        <x:v>Verify stability at the highest speed with oscillation disabled.</x:v>
      </x:c>
      <x:c r="D15" s="23" t="str">
        <x:v>Fan is upright on a dry, hard and level floor; oscillation is off.</x:v>
      </x:c>
      <x:c r="E15" s="23" t="str">
        <x:v>Speed button 3</x:v>
      </x:c>
      <x:c r="F15" s="23" t="str">
        <x:v>1. Mark the initial base position without attaching anything to the fan.
2. Run speed 3 for 30 seconds.
3. Observe the base and fan body from a safe distance.</x:v>
      </x:c>
      <x:c r="G15" s="23" t="str">
        <x:v>The base stays in its initial position and the fan does not walk, rock, tilt or approach an unstable condition.</x:v>
      </x:c>
      <x:c r="H15" s="24" t="str">
        <x:v>At speed 3 with oscillation off, the base remained at its marked position and the fan did not walk, rock or tilt during the 30-second observation.</x:v>
      </x:c>
      <x:c r="I15" s="24" t="str">
        <x:v>PASS</x:v>
      </x:c>
      <x:c r="J15" s="24" t="str">
        <x:v>AI initial batch</x:v>
      </x:c>
      <x:c r="K15" s="24" t="str"/>
      <x:c r="L15" s="24" t="str">
        <x:v>VID-05</x:v>
      </x:c>
      <x:c r="M15" s="24" t="str"/>
    </x:row>
    <x:row r="16" ht="252" hidden="0" customHeight="1">
      <x:c r="A16" s="25" t="str">
        <x:v>TC-11</x:v>
      </x:c>
      <x:c r="B16" s="23" t="str">
        <x:v>Stability while oscillating at speed 3</x:v>
      </x:c>
      <x:c r="C16" s="23" t="str">
        <x:v>Verify stability under combined maximum airflow and oscillating movement.</x:v>
      </x:c>
      <x:c r="D16" s="23" t="str">
        <x:v>Fan is upright on a dry, hard and level floor with clear space around the head.</x:v>
      </x:c>
      <x:c r="E16" s="23" t="str">
        <x:v>Speed 3 and oscillation ON</x:v>
      </x:c>
      <x:c r="F16" s="23" t="str">
        <x:v>1. Mark the initial base position without attaching anything to the fan.
2. Select speed 3 and activate oscillation.
3. Observe for 2 minutes.
4. Measure any displacement from the starting mark.</x:v>
      </x:c>
      <x:c r="G16" s="23" t="str">
        <x:v>The base remains at the marked position for 2 minutes without walking, rocking, tipping, cable pulling or excessive structural vibration.</x:v>
      </x:c>
      <x:c r="H16" s="24" t="str">
        <x:v>On smooth tile, the fan base moves approximately 1.5 cm from its marked starting position after 2 minutes at speed 3 with oscillation active.</x:v>
      </x:c>
      <x:c r="I16" s="24" t="str">
        <x:v>FAIL</x:v>
      </x:c>
      <x:c r="J16" s="24" t="str">
        <x:v>AI initial batch</x:v>
      </x:c>
      <x:c r="K16" s="24" t="str"/>
      <x:c r="L16" s="24"/>
      <x:c r="M16" s="24" t="str">
        <x:v>https://github.com/bingsu1103/23120205-HW01-QA/issues/5</x:v>
      </x:c>
    </x:row>
    <x:row r="17" ht="168" hidden="0" customHeight="1">
      <x:c r="A17" s="25" t="str">
        <x:v>TC-12</x:v>
      </x:c>
      <x:c r="B17" s="23" t="str">
        <x:v>Operating noise and vibration</x:v>
      </x:c>
      <x:c r="C17" s="23" t="str">
        <x:v>Check for abnormal sound or vibration across normal operating states.</x:v>
      </x:c>
      <x:c r="D17" s="23" t="str">
        <x:v>Fan is on a stable level floor with oscillation initially off.</x:v>
      </x:c>
      <x:c r="E17" s="23" t="str">
        <x:v>Speed 1, speed 3, then speed 3 with oscillation</x:v>
      </x:c>
      <x:c r="F17" s="23" t="str">
        <x:v>1. Listen and observe at speed 1 for 15 seconds.
2. Repeat at speed 3.
3. Enable oscillation and observe one complete sweep.</x:v>
      </x:c>
      <x:c r="G17" s="23" t="str">
        <x:v>The fan has no scraping, grinding, repeated clicking, grille contact or excessive vibration in any tested state.</x:v>
      </x:c>
      <x:c r="H17" s="24" t="str">
        <x:v>At speed 3, the outer metal grille vibrates against the plastic retaining ring and produces a continuous loud rattling noise.</x:v>
      </x:c>
      <x:c r="I17" s="24" t="str">
        <x:v>FAIL</x:v>
      </x:c>
      <x:c r="J17" s="24" t="str">
        <x:v>AI initial batch</x:v>
      </x:c>
      <x:c r="K17" s="24" t="str"/>
      <x:c r="L17" s="24"/>
      <x:c r="M17" s="24" t="str">
        <x:v>https://github.com/bingsu1103/23120205-HW01-QA/issues/1</x:v>
      </x:c>
    </x:row>
    <x:row r="18" ht="264" hidden="0" customHeight="1">
      <x:c r="A18" s="25" t="str">
        <x:v>TC-13</x:v>
      </x:c>
      <x:c r="B18" s="23" t="str">
        <x:v>Reconnect power from OFF state</x:v>
      </x:c>
      <x:c r="C18" s="23" t="str">
        <x:v>Verify that reconnecting power does not cause unintended startup when OFF is selected.</x:v>
      </x:c>
      <x:c r="D18" s="23" t="str">
        <x:v>OFF button is selected; blades are fully stopped; tester's hands and plug area are dry.</x:v>
      </x:c>
      <x:c r="E18" s="23" t="str">
        <x:v>Normal unplug, 10-second wait and reconnect</x:v>
      </x:c>
      <x:c r="F18" s="23" t="str">
        <x:v>1. Confirm OFF is selected.
2. Unplug by holding the plug, not the cord.
3. Wait 10 seconds.
4. Reconnect to the same normal outlet.
5. Observe for 10 seconds without pressing a speed button.</x:v>
      </x:c>
      <x:c r="G18" s="23" t="str">
        <x:v>The fan remains stopped after reconnection and shows no spark, burning smell or unexpected motor movement.</x:v>
      </x:c>
      <x:c r="H18" s="24" t="str">
        <x:v>The fan remained off after power was reconnected while OFF had been selected before unplugging.</x:v>
      </x:c>
      <x:c r="I18" s="24" t="str">
        <x:v>PASS</x:v>
      </x:c>
      <x:c r="J18" s="24" t="str">
        <x:v>AI initial batch</x:v>
      </x:c>
      <x:c r="K18" s="24" t="str"/>
      <x:c r="L18" s="24"/>
      <x:c r="M18" s="24" t="str"/>
    </x:row>
    <x:row r="19" ht="204" hidden="0" customHeight="1">
      <x:c r="A19" s="25" t="str">
        <x:v>TC-14</x:v>
      </x:c>
      <x:c r="B19" s="23" t="str">
        <x:v>Continuous 30-minute operation</x:v>
      </x:c>
      <x:c r="C19" s="23" t="str">
        <x:v>Verify stable operation during a normal extended-use period.</x:v>
      </x:c>
      <x:c r="D19" s="23" t="str">
        <x:v>Fan is clean, unobstructed, upright and has clear ventilation around the motor housing.</x:v>
      </x:c>
      <x:c r="E19" s="23" t="str">
        <x:v>Speed 2 with oscillation ON for 30 minutes</x:v>
      </x:c>
      <x:c r="F19" s="23" t="str">
        <x:v>1. Start speed 2 and enable oscillation.
2. Observe at the start, 15-minute point and 30-minute point.
3. Stop immediately if smoke, sparking or burning smell occurs.</x:v>
      </x:c>
      <x:c r="G19" s="23" t="str">
        <x:v>The fan operates continuously for 30 minutes without stopping, speed fluctuation, burning smell, smoke, sparking or new abnormal noise.</x:v>
      </x:c>
      <x:c r="H19" s="24" t="str">
        <x:v>The fan operated normally and remained stable for 30 minutes, but the motor housing became slightly warm.</x:v>
      </x:c>
      <x:c r="I19" s="24" t="str">
        <x:v>PASS</x:v>
      </x:c>
      <x:c r="J19" s="24" t="str">
        <x:v>AI initial batch</x:v>
      </x:c>
      <x:c r="K19" s="24" t="str"/>
      <x:c r="L19" s="24"/>
      <x:c r="M19" s="24" t="str"/>
    </x:row>
    <x:row r="20" ht="288" hidden="0" customHeight="1">
      <x:c r="A20" s="25" t="str">
        <x:v>TC-15</x:v>
      </x:c>
      <x:c r="B20" s="23" t="str">
        <x:v>Manual counter-rotation during active oscillation</x:v>
      </x:c>
      <x:c r="C20" s="23" t="str">
        <x:v>Assess the risk of a user forcing the fan head opposite to its powered oscillation direction.</x:v>
      </x:c>
      <x:c r="D20" s="23" t="str">
        <x:v>The powered test is not approved for manual force. Manufacturer guidance and a guarded torque-limited fixture are required.</x:v>
      </x:c>
      <x:c r="E20" s="23" t="str">
        <x:v>Counter-rotation force applied to the fan head</x:v>
      </x:c>
      <x:c r="F20" s="23" t="str">
        <x:v>1. Review the manual and drive mechanism documentation.
2. Do not push the grille or powered fan head by hand.
3. Execute only with an approved guarded, torque-limited method; otherwise record the case as not executed.</x:v>
      </x:c>
      <x:c r="G20" s="23" t="str">
        <x:v>The device does not expose hazardous force, overheating or permanent drive damage and resumes normal operation after force removal. No protective clutch or clicking sound is assumed without documentation.</x:v>
      </x:c>
      <x:c r="H20" s="24" t="str">
        <x:v>The fan produced repeated clicking sounds and stopped while counter-force was applied. It resumed after release, but the oscillation sweep range shifted from its previous position.</x:v>
      </x:c>
      <x:c r="I20" s="24" t="str">
        <x:v>FAIL</x:v>
      </x:c>
      <x:c r="J20" s="24" t="str">
        <x:v>Student edge case</x:v>
      </x:c>
      <x:c r="K20" s="24" t="str">
        <x:v>EC-03</x:v>
      </x:c>
      <x:c r="L20" s="24"/>
      <x:c r="M20" s="24" t="str">
        <x:v>https://github.com/bingsu1103/23120205-HW01-QA/issues/7</x:v>
      </x:c>
    </x:row>
  </x:sheetData>
  <x:mergeCells>
    <x:mergeCell ref="A1:M1"/>
    <x:mergeCell ref="A2:M2"/>
    <x:mergeCell ref="A3:M3"/>
  </x:mergeCells>
  <x:conditionalFormatting sqref="I6:I20">
    <x:cfRule type="containsText" dxfId="0" priority="1" operator="containsText" text="PASS"/>
    <x:cfRule type="containsText" dxfId="1" priority="2" operator="containsText" text="FAIL"/>
    <x:cfRule type="containsText" dxfId="2" priority="3" operator="containsText" text="NOT EXECUTED"/>
  </x:conditionalFormatting>
  <x:dataValidations count="2">
    <x:dataValidation type="list" sqref="I6:I20">
      <x:formula1>"PASS,FAIL,BLOCKED,NOT EXECUTED"</x:formula1>
    </x:dataValidation>
    <x:dataValidation type="list" sqref="J6:J20">
      <x:formula1>"AI initial batch,Student edge case"</x:formula1>
    </x:dataValidation>
  </x:dataValidations>
  <x:pageMargins left="0.7" right="0.7" top="0.75" bottom="0.75" header="0.3" footer="0.3"/>
  <x:tableParts count="1">
    <x:tablePart xmlns:r="http://schemas.openxmlformats.org/officeDocument/2006/relationships" r:id="R8dd79b8010054dcc"/>
  </x:tableParts>
</x:worksheet>
</file>

<file path=xl/worksheets/sheet2.xml><?xml version="1.0" encoding="utf-8"?>
<x:worksheet xmlns:x="http://schemas.openxmlformats.org/spreadsheetml/2006/main">
  <x:sheetPr>
    <x:tabColor rgb="FF5B9BD5"/>
  </x:sheetPr>
  <x:sheetViews>
    <x:sheetView showGridLines="0" workbookViewId="0">
      <x:pane ySplit="13" topLeftCell="A14" activePane="bottomLeft" state="frozen"/>
    </x:sheetView>
  </x:sheetViews>
  <x:sheetFormatPr defaultRowHeight="15"/>
  <x:cols>
    <x:col min="1" max="1" width="30" hidden="0" customWidth="1"/>
    <x:col min="2" max="2" width="18" hidden="0" customWidth="1"/>
    <x:col min="3" max="3" width="66" hidden="0" customWidth="1"/>
    <x:col min="4" max="4" width="18" hidden="0" customWidth="1"/>
    <x:col min="5" max="5" width="16" hidden="0" customWidth="1"/>
    <x:col min="6" max="6" width="20" hidden="0" customWidth="1"/>
    <x:col min="7" max="7" width="18" hidden="0" customWidth="1"/>
  </x:cols>
  <x:sheetData>
    <x:row r="1">
      <x:c r="A1" s="14" t="str">
        <x:v>Requirement 3 Checklist</x:v>
      </x:c>
      <x:c r="B1" s="11"/>
      <x:c r="C1" s="11"/>
      <x:c r="D1" s="11"/>
      <x:c r="E1" s="11"/>
      <x:c r="F1" s="11"/>
      <x:c r="G1" s="11"/>
    </x:row>
    <x:row r="2">
      <x:c r="A2" s="11"/>
      <x:c r="B2" s="11"/>
      <x:c r="C2" s="11"/>
      <x:c r="D2" s="11"/>
      <x:c r="E2" s="11"/>
      <x:c r="F2" s="11"/>
      <x:c r="G2" s="11"/>
    </x:row>
    <x:row r="3" ht="36" hidden="0" customHeight="1">
      <x:c r="A3" s="20" t="str">
        <x:v>Requirement</x:v>
      </x:c>
      <x:c r="B3" s="20" t="str">
        <x:v>Current Status</x:v>
      </x:c>
      <x:c r="C3" s="20" t="str">
        <x:v>Required Evidence or Action</x:v>
      </x:c>
      <x:c r="D3" s="11"/>
      <x:c r="E3" s="11"/>
      <x:c r="F3" s="11"/>
      <x:c r="G3" s="11"/>
    </x:row>
    <x:row r="4" ht="72" hidden="0" customHeight="1">
      <x:c r="A4" s="32" t="str">
        <x:v>Specific appliance metadata</x:v>
      </x:c>
      <x:c r="B4" s="33" t="str">
        <x:v>AVAILABLE</x:v>
      </x:c>
      <x:c r="C4" s="32" t="str">
        <x:v>Senko B113; year 2021; serial not found on the device and not fabricated.</x:v>
      </x:c>
      <x:c r="D4" s="11"/>
      <x:c r="E4" s="11"/>
      <x:c r="F4" s="11"/>
      <x:c r="G4" s="11"/>
    </x:row>
    <x:row r="5" ht="84" hidden="0" customHeight="1">
      <x:c r="A5" s="32" t="str">
        <x:v>Device and student card photo</x:v>
      </x:c>
      <x:c r="B5" s="33" t="str">
        <x:v>AVAILABLE</x:v>
      </x:c>
      <x:c r="C5" s="32" t="str">
        <x:v>Verified at private-evidence/device/DEVICE-01.jpg: fan, student and student ID card appear in the same frame.</x:v>
      </x:c>
      <x:c r="D5" s="11"/>
      <x:c r="E5" s="11"/>
      <x:c r="F5" s="11"/>
      <x:c r="G5" s="11"/>
    </x:row>
    <x:row r="6" ht="84" hidden="0" customHeight="1">
      <x:c r="A6" s="32" t="str">
        <x:v>15 total test cases</x:v>
      </x:c>
      <x:c r="B6" s="33" t="str">
        <x:v>REVIEWED</x:v>
      </x:c>
      <x:c r="C6" s="32" t="str">
        <x:v>The final set contains 12 AI-generated cases and 3 student edge cases.</x:v>
      </x:c>
      <x:c r="D6" s="11"/>
      <x:c r="E6" s="11"/>
      <x:c r="F6" s="11"/>
      <x:c r="G6" s="11"/>
    </x:row>
    <x:row r="7" ht="156" hidden="0" customHeight="1">
      <x:c r="A7" s="32" t="str">
        <x:v>At least 3 AI-missed edge cases</x:v>
      </x:c>
      <x:c r="B7" s="33" t="str">
        <x:v>AVAILABLE</x:v>
      </x:c>
      <x:c r="C7" s="32" t="str">
        <x:v>EC-01 to EC-03 and three conversation screenshots are included.</x:v>
      </x:c>
      <x:c r="D7" s="11"/>
      <x:c r="E7" s="11"/>
      <x:c r="F7" s="11"/>
      <x:c r="G7" s="11"/>
    </x:row>
    <x:row r="8" ht="144" hidden="0" customHeight="1">
      <x:c r="A8" s="32" t="str">
        <x:v>At least 5 executed tests and videos</x:v>
      </x:c>
      <x:c r="B8" s="33" t="str">
        <x:v>5 EXECUTED TESTS — VIDEOS AVAILABLE</x:v>
      </x:c>
      <x:c r="C8" s="32" t="str">
        <x:v>VID-01..VID-05 document TC-01, TC-02, TC-04, TC-08 and TC-10. All five were reported PASS and voice presence was confirmed by the student.</x:v>
      </x:c>
      <x:c r="D8" s="11"/>
      <x:c r="E8" s="11"/>
      <x:c r="F8" s="11"/>
      <x:c r="G8" s="11"/>
    </x:row>
    <x:row r="9" ht="84" hidden="0" customHeight="1">
      <x:c r="A9" s="32" t="str">
        <x:v>Actual Result and Verdict</x:v>
      </x:c>
      <x:c r="B9" s="33" t="str">
        <x:v>15 EXECUTED — ALL VERDICTS RECORDED</x:v>
      </x:c>
      <x:c r="C9" s="32" t="str">
        <x:v>Eight cases are PASS and seven are FAIL. Every test case now has an Actual Result and final Verdict.</x:v>
      </x:c>
      <x:c r="D9" s="11"/>
      <x:c r="E9" s="11"/>
      <x:c r="F9" s="11"/>
      <x:c r="G9" s="11"/>
    </x:row>
    <x:row r="10" ht="96" hidden="0" customHeight="1">
      <x:c r="A10" s="32" t="str">
        <x:v>Aim for at least 5 physical defects</x:v>
      </x:c>
      <x:c r="B10" s="33" t="str">
        <x:v>COMPLETE — 7 ISSUES CREATED</x:v>
      </x:c>
      <x:c r="C10" s="32" t="str">
        <x:v>PDEF-01 to PDEF-07 are available at GitHub Issues #1 to #7.</x:v>
      </x:c>
      <x:c r="D10" s="11"/>
      <x:c r="E10" s="11"/>
      <x:c r="F10" s="11"/>
      <x:c r="G10" s="11"/>
    </x:row>
    <x:row r="11" ht="72" hidden="0" customHeight="1">
      <x:c r="A11" s="32" t="str">
        <x:v>GitHub Issues screenshot</x:v>
      </x:c>
      <x:c r="B11" s="33" t="str">
        <x:v>AVAILABLE</x:v>
      </x:c>
      <x:c r="C11" s="32" t="str">
        <x:v>Issues-list screenshot verified at private-evidence/github/git-issue-evidence.jpg; repository, username and all seven issue titles are visible.</x:v>
      </x:c>
      <x:c r="D11" s="11"/>
      <x:c r="E11" s="11"/>
      <x:c r="F11" s="11"/>
      <x:c r="G11" s="11"/>
    </x:row>
    <x:row r="12">
      <x:c r="A12" s="11"/>
      <x:c r="B12" s="11"/>
      <x:c r="C12" s="11"/>
      <x:c r="D12" s="11"/>
      <x:c r="E12" s="11"/>
      <x:c r="F12" s="11"/>
      <x:c r="G12" s="11"/>
    </x:row>
    <x:row r="13" ht="24" hidden="0" customHeight="1">
      <x:c r="A13" s="20" t="str">
        <x:v>Test Case ID</x:v>
      </x:c>
      <x:c r="B13" s="20" t="str">
        <x:v>Reviewed</x:v>
      </x:c>
      <x:c r="C13" s="20" t="str">
        <x:v>Safety Reviewed</x:v>
      </x:c>
      <x:c r="D13" s="20" t="str">
        <x:v>Video Planned</x:v>
      </x:c>
      <x:c r="E13" s="20" t="str">
        <x:v>Edge Case ID</x:v>
      </x:c>
      <x:c r="F13" s="20" t="str">
        <x:v>Execution Ready</x:v>
      </x:c>
      <x:c r="G13"/>
    </x:row>
    <x:row r="14" ht="15" hidden="0" customHeight="1">
      <x:c r="A14" s="34" t="str">
        <x:v>TC-01</x:v>
      </x:c>
      <x:c r="B14" s="35" t="str">
        <x:v>Yes</x:v>
      </x:c>
      <x:c r="C14" s="35" t="str">
        <x:v>Yes</x:v>
      </x:c>
      <x:c r="D14" s="35" t="str">
        <x:v>Yes</x:v>
      </x:c>
      <x:c r="E14" s="35" t="str"/>
      <x:c r="F14" s="35" t="str">
        <x:v>Yes</x:v>
      </x:c>
      <x:c r="G14"/>
    </x:row>
    <x:row r="15" ht="15" hidden="0" customHeight="1">
      <x:c r="A15" s="34" t="str">
        <x:v>TC-02</x:v>
      </x:c>
      <x:c r="B15" s="35" t="str">
        <x:v>Yes</x:v>
      </x:c>
      <x:c r="C15" s="35" t="str">
        <x:v>Yes</x:v>
      </x:c>
      <x:c r="D15" s="35" t="str">
        <x:v>Yes</x:v>
      </x:c>
      <x:c r="E15" s="35" t="str"/>
      <x:c r="F15" s="35" t="str">
        <x:v>Yes</x:v>
      </x:c>
      <x:c r="G15"/>
    </x:row>
    <x:row r="16" ht="15" hidden="0" customHeight="1">
      <x:c r="A16" s="34" t="str">
        <x:v>TC-03</x:v>
      </x:c>
      <x:c r="B16" s="35" t="str">
        <x:v>Yes</x:v>
      </x:c>
      <x:c r="C16" s="35" t="str">
        <x:v>Yes</x:v>
      </x:c>
      <x:c r="D16" s="35" t="str">
        <x:v>No</x:v>
      </x:c>
      <x:c r="E16" s="35" t="str">
        <x:v>EC-01</x:v>
      </x:c>
      <x:c r="F16" s="35" t="str">
        <x:v>Yes</x:v>
      </x:c>
      <x:c r="G16"/>
    </x:row>
    <x:row r="17" ht="15" hidden="0" customHeight="1">
      <x:c r="A17" s="34" t="str">
        <x:v>TC-04</x:v>
      </x:c>
      <x:c r="B17" s="35" t="str">
        <x:v>Yes</x:v>
      </x:c>
      <x:c r="C17" s="35" t="str">
        <x:v>Yes</x:v>
      </x:c>
      <x:c r="D17" s="35" t="str">
        <x:v>Yes</x:v>
      </x:c>
      <x:c r="E17" s="35" t="str"/>
      <x:c r="F17" s="35" t="str">
        <x:v>Yes</x:v>
      </x:c>
      <x:c r="G17"/>
    </x:row>
    <x:row r="18" ht="15" hidden="0" customHeight="1">
      <x:c r="A18" s="34" t="str">
        <x:v>TC-05</x:v>
      </x:c>
      <x:c r="B18" s="35" t="str">
        <x:v>Yes</x:v>
      </x:c>
      <x:c r="C18" s="35" t="str">
        <x:v>Yes</x:v>
      </x:c>
      <x:c r="D18" s="35" t="str">
        <x:v>No</x:v>
      </x:c>
      <x:c r="E18" s="35" t="str"/>
      <x:c r="F18" s="35" t="str">
        <x:v>Yes</x:v>
      </x:c>
      <x:c r="G18"/>
    </x:row>
    <x:row r="19" ht="15" hidden="0" customHeight="1">
      <x:c r="A19" s="34" t="str">
        <x:v>TC-06</x:v>
      </x:c>
      <x:c r="B19" s="35" t="str">
        <x:v>Yes</x:v>
      </x:c>
      <x:c r="C19" s="35" t="str">
        <x:v>Yes</x:v>
      </x:c>
      <x:c r="D19" s="35" t="str">
        <x:v>No</x:v>
      </x:c>
      <x:c r="E19" s="35" t="str"/>
      <x:c r="F19" s="35" t="str">
        <x:v>Yes</x:v>
      </x:c>
      <x:c r="G19"/>
    </x:row>
    <x:row r="20" ht="15" hidden="0" customHeight="1">
      <x:c r="A20" s="34" t="str">
        <x:v>TC-07</x:v>
      </x:c>
      <x:c r="B20" s="35" t="str">
        <x:v>Yes</x:v>
      </x:c>
      <x:c r="C20" s="35" t="str">
        <x:v>Yes</x:v>
      </x:c>
      <x:c r="D20" s="35" t="str">
        <x:v>No</x:v>
      </x:c>
      <x:c r="E20" s="35" t="str">
        <x:v>EC-02</x:v>
      </x:c>
      <x:c r="F20" s="35" t="str">
        <x:v>Yes</x:v>
      </x:c>
      <x:c r="G20"/>
    </x:row>
    <x:row r="21" ht="15" hidden="0" customHeight="1">
      <x:c r="A21" s="34" t="str">
        <x:v>TC-08</x:v>
      </x:c>
      <x:c r="B21" s="35" t="str">
        <x:v>Yes</x:v>
      </x:c>
      <x:c r="C21" s="35" t="str">
        <x:v>Yes</x:v>
      </x:c>
      <x:c r="D21" s="35" t="str">
        <x:v>Yes</x:v>
      </x:c>
      <x:c r="E21" s="35" t="str"/>
      <x:c r="F21" s="35" t="str">
        <x:v>Yes</x:v>
      </x:c>
      <x:c r="G21"/>
    </x:row>
    <x:row r="22" ht="15" hidden="0" customHeight="1">
      <x:c r="A22" s="34" t="str">
        <x:v>TC-09</x:v>
      </x:c>
      <x:c r="B22" s="35" t="str">
        <x:v>Yes</x:v>
      </x:c>
      <x:c r="C22" s="35" t="str">
        <x:v>Yes</x:v>
      </x:c>
      <x:c r="D22" s="35" t="str">
        <x:v>No</x:v>
      </x:c>
      <x:c r="E22" s="35" t="str"/>
      <x:c r="F22" s="35" t="str">
        <x:v>Yes</x:v>
      </x:c>
      <x:c r="G22"/>
    </x:row>
    <x:row r="23" ht="15" hidden="0" customHeight="1">
      <x:c r="A23" s="34" t="str">
        <x:v>TC-10</x:v>
      </x:c>
      <x:c r="B23" s="35" t="str">
        <x:v>Yes</x:v>
      </x:c>
      <x:c r="C23" s="35" t="str">
        <x:v>Yes</x:v>
      </x:c>
      <x:c r="D23" s="35" t="str">
        <x:v>Yes</x:v>
      </x:c>
      <x:c r="E23" s="35" t="str"/>
      <x:c r="F23" s="35" t="str">
        <x:v>Yes</x:v>
      </x:c>
      <x:c r="G23"/>
    </x:row>
    <x:row r="24" ht="15" hidden="0" customHeight="1">
      <x:c r="A24" s="34" t="str">
        <x:v>TC-11</x:v>
      </x:c>
      <x:c r="B24" s="35" t="str">
        <x:v>Yes</x:v>
      </x:c>
      <x:c r="C24" s="35" t="str">
        <x:v>Yes</x:v>
      </x:c>
      <x:c r="D24" s="35" t="str">
        <x:v>No</x:v>
      </x:c>
      <x:c r="E24" s="35" t="str"/>
      <x:c r="F24" s="35" t="str">
        <x:v>Yes</x:v>
      </x:c>
      <x:c r="G24"/>
    </x:row>
    <x:row r="25" ht="15" hidden="0" customHeight="1">
      <x:c r="A25" s="34" t="str">
        <x:v>TC-12</x:v>
      </x:c>
      <x:c r="B25" s="35" t="str">
        <x:v>Yes</x:v>
      </x:c>
      <x:c r="C25" s="35" t="str">
        <x:v>Yes</x:v>
      </x:c>
      <x:c r="D25" s="35" t="str">
        <x:v>No</x:v>
      </x:c>
      <x:c r="E25" s="35" t="str"/>
      <x:c r="F25" s="35" t="str">
        <x:v>Yes</x:v>
      </x:c>
      <x:c r="G25"/>
    </x:row>
    <x:row r="26" ht="15" hidden="0" customHeight="1">
      <x:c r="A26" s="34" t="str">
        <x:v>TC-13</x:v>
      </x:c>
      <x:c r="B26" s="35" t="str">
        <x:v>Yes</x:v>
      </x:c>
      <x:c r="C26" s="35" t="str">
        <x:v>Yes</x:v>
      </x:c>
      <x:c r="D26" s="35" t="str">
        <x:v>No</x:v>
      </x:c>
      <x:c r="E26" s="35" t="str"/>
      <x:c r="F26" s="35" t="str">
        <x:v>Yes</x:v>
      </x:c>
      <x:c r="G26"/>
    </x:row>
    <x:row r="27" ht="15" hidden="0" customHeight="1">
      <x:c r="A27" s="34" t="str">
        <x:v>TC-14</x:v>
      </x:c>
      <x:c r="B27" s="35" t="str">
        <x:v>Yes</x:v>
      </x:c>
      <x:c r="C27" s="35" t="str">
        <x:v>Yes</x:v>
      </x:c>
      <x:c r="D27" s="35" t="str">
        <x:v>No</x:v>
      </x:c>
      <x:c r="E27" s="35" t="str"/>
      <x:c r="F27" s="35" t="str">
        <x:v>Yes</x:v>
      </x:c>
      <x:c r="G27"/>
    </x:row>
    <x:row r="28" ht="15" hidden="0" customHeight="1">
      <x:c r="A28" s="34" t="str">
        <x:v>TC-15</x:v>
      </x:c>
      <x:c r="B28" s="35" t="str">
        <x:v>Yes</x:v>
      </x:c>
      <x:c r="C28" s="35" t="str">
        <x:v>Yes</x:v>
      </x:c>
      <x:c r="D28" s="35" t="str">
        <x:v>No</x:v>
      </x:c>
      <x:c r="E28" s="35" t="str">
        <x:v>EC-03</x:v>
      </x:c>
      <x:c r="F28" s="35" t="str">
        <x:v>Yes</x:v>
      </x:c>
      <x:c r="G28"/>
    </x:row>
  </x:sheetData>
  <x:dataValidations count="3">
    <x:dataValidation type="list" sqref="B14:D28">
      <x:formula1>"Yes,No"</x:formula1>
    </x:dataValidation>
    <x:dataValidation type="list" sqref="F14:F28">
      <x:formula1>"PENDING,READY"</x:formula1>
    </x:dataValidation>
    <x:dataValidation type="list" sqref="G14:G28">
      <x:formula1>"Yes,No"</x:formula1>
    </x:dataValidation>
  </x:dataValidations>
  <x:pageMargins left="0.7" right="0.7" top="0.75" bottom="0.75" header="0.3" footer="0.3"/>
</x:worksheet>
</file>

<file path=xl/worksheets/sheet3.xml><?xml version="1.0" encoding="utf-8"?>
<x:worksheet xmlns:x="http://schemas.openxmlformats.org/spreadsheetml/2006/main">
  <x:sheetPr>
    <x:tabColor rgb="FFA5A5A5"/>
  </x:sheetPr>
  <x:sheetViews>
    <x:sheetView showGridLines="0" workbookViewId="0"/>
  </x:sheetViews>
  <x:sheetFormatPr defaultRowHeight="15"/>
  <x:cols>
    <x:col min="1" max="1" width="38" hidden="0" customWidth="1"/>
    <x:col min="2" max="2" width="18" hidden="0" customWidth="1"/>
    <x:col min="3" max="3" width="4" hidden="0" customWidth="1"/>
    <x:col min="4" max="4" width="32" hidden="0" customWidth="1"/>
    <x:col min="5" max="5" width="30" hidden="0" customWidth="1"/>
  </x:cols>
  <x:sheetData>
    <x:row r="1" ht="19.200000762939453" hidden="0" customHeight="1">
      <x:c r="A1" s="14" t="str">
        <x:v>Physical Appliance Test Summary</x:v>
      </x:c>
      <x:c r="B1" s="11"/>
      <x:c r="C1" s="11"/>
      <x:c r="D1" s="11"/>
      <x:c r="E1" s="11"/>
    </x:row>
    <x:row r="2" ht="15" hidden="0" customHeight="1">
      <x:c r="A2" s="15" t="str">
        <x:v>15 tests executed; 8 PASS and 7 FAIL; 5 narrated PASS videos and all 7 GitHub Issues are available.</x:v>
      </x:c>
      <x:c r="B2" s="11"/>
      <x:c r="C2" s="11"/>
      <x:c r="D2" s="11"/>
      <x:c r="E2" s="11"/>
    </x:row>
    <x:row r="3" ht="15" hidden="0" customHeight="1">
      <x:c r="A3" s="11"/>
      <x:c r="B3" s="11"/>
      <x:c r="C3" s="11"/>
      <x:c r="D3" s="11"/>
      <x:c r="E3" s="11"/>
    </x:row>
    <x:row r="4" ht="24" hidden="0" customHeight="1">
      <x:c r="A4" s="20" t="str">
        <x:v>Metric</x:v>
      </x:c>
      <x:c r="B4" s="20" t="str">
        <x:v>Value</x:v>
      </x:c>
      <x:c r="C4" s="21"/>
      <x:c r="D4" s="20" t="str">
        <x:v>Device field</x:v>
      </x:c>
      <x:c r="E4" s="20" t="str">
        <x:v>Current value</x:v>
      </x:c>
    </x:row>
    <x:row r="5" ht="36" hidden="0" customHeight="1">
      <x:c r="A5" s="32" t="str">
        <x:v>Total test cases</x:v>
      </x:c>
      <x:c r="B5" s="43" t="n">
        <x:f>COUNTA(Test_Cases!A6:A20)</x:f>
        <x:v>15</x:v>
      </x:c>
      <x:c r="C5" s="21"/>
      <x:c r="D5" s="32" t="str">
        <x:v>Product</x:v>
      </x:c>
      <x:c r="E5" s="32" t="str">
        <x:v>Senko standing fan</x:v>
      </x:c>
    </x:row>
    <x:row r="6" ht="15" hidden="0" customHeight="1">
      <x:c r="A6" s="32" t="str">
        <x:v>Executed</x:v>
      </x:c>
      <x:c r="B6" s="43" t="n">
        <x:v>15</x:v>
      </x:c>
      <x:c r="C6" s="21"/>
      <x:c r="D6" s="32" t="str">
        <x:v>Model</x:v>
      </x:c>
      <x:c r="E6" s="33" t="str">
        <x:v>B113</x:v>
      </x:c>
    </x:row>
    <x:row r="7" ht="15" hidden="0" customHeight="1">
      <x:c r="A7" s="32" t="str">
        <x:v>PASS</x:v>
      </x:c>
      <x:c r="B7" s="43" t="n">
        <x:v>8</x:v>
      </x:c>
      <x:c r="C7" s="21"/>
      <x:c r="D7" s="32" t="str">
        <x:v>Year</x:v>
      </x:c>
      <x:c r="E7" s="33" t="n">
        <x:v>2021</x:v>
      </x:c>
    </x:row>
    <x:row r="8" ht="24" hidden="0" customHeight="1">
      <x:c r="A8" s="32" t="str">
        <x:v>FAIL</x:v>
      </x:c>
      <x:c r="B8" s="43" t="n">
        <x:v>7</x:v>
      </x:c>
      <x:c r="C8" s="21"/>
      <x:c r="D8" s="32" t="str">
        <x:v>Masked serial</x:v>
      </x:c>
      <x:c r="E8" s="33" t="str">
        <x:v>Not found on the device</x:v>
      </x:c>
    </x:row>
    <x:row r="9" ht="24" hidden="0" customHeight="1">
      <x:c r="A9" s="32" t="str">
        <x:v>PENDING VERDICT</x:v>
      </x:c>
      <x:c r="B9" s="43" t="n">
        <x:v>0</x:v>
      </x:c>
      <x:c r="C9" s="21"/>
      <x:c r="D9" s="32" t="str">
        <x:v>Device photo</x:v>
      </x:c>
      <x:c r="E9" s="33" t="str">
        <x:v>AVAILABLE</x:v>
      </x:c>
    </x:row>
    <x:row r="10" ht="36" hidden="0" customHeight="1">
      <x:c r="A10" s="32" t="str">
        <x:v>NOT EXECUTED</x:v>
      </x:c>
      <x:c r="B10" s="43" t="n">
        <x:v>0</x:v>
      </x:c>
      <x:c r="C10" s="21"/>
      <x:c r="D10" s="32" t="str">
        <x:v>Edge-case conversation evidence</x:v>
      </x:c>
      <x:c r="E10" s="33" t="str">
        <x:v>AVAILABLE</x:v>
      </x:c>
    </x:row>
    <x:row r="11" ht="48" hidden="0" customHeight="1">
      <x:c r="A11" s="32" t="str">
        <x:v>Executed tests mapped to Video ID</x:v>
      </x:c>
      <x:c r="B11" s="43" t="n">
        <x:f>COUNTIFS(Test_Cases!L6:L20,"&lt;&gt;",Test_Cases!I6:I20,"&lt;&gt;NOT EXECUTED")</x:f>
        <x:v>5</x:v>
      </x:c>
      <x:c r="C11" s="21"/>
      <x:c r="D11" s="21"/>
      <x:c r="E11" s="21"/>
    </x:row>
    <x:row r="12" ht="24" hidden="0" customHeight="1">
      <x:c r="A12" s="32" t="str">
        <x:v>Student edge cases</x:v>
      </x:c>
      <x:c r="B12" s="43" t="n">
        <x:f>COUNTIFS(Test_Cases!J6:J20,"Student edge case")</x:f>
        <x:v>3</x:v>
      </x:c>
      <x:c r="C12" s="21"/>
      <x:c r="D12" s="21"/>
      <x:c r="E12" s="21"/>
    </x:row>
    <x:row r="13" ht="24" hidden="0" customHeight="1">
      <x:c r="A13" s="32" t="str">
        <x:v>Physical-device defects</x:v>
      </x:c>
      <x:c r="B13" s="43" t="n">
        <x:v>7</x:v>
      </x:c>
      <x:c r="C13" s="21"/>
      <x:c r="D13" s="21"/>
      <x:c r="E13" s="21"/>
    </x:row>
    <x:row r="14" ht="15" hidden="0" customHeight="1">
      <x:c r="A14" s="21"/>
      <x:c r="B14" s="21"/>
      <x:c r="C14" s="21"/>
      <x:c r="D14" s="21"/>
      <x:c r="E14" s="21"/>
    </x:row>
    <x:row r="15" ht="24" hidden="0" customHeight="1">
      <x:c r="A15" s="20" t="str">
        <x:v>Completion gate</x:v>
      </x:c>
      <x:c r="B15" s="20" t="str">
        <x:v>Status</x:v>
      </x:c>
      <x:c r="C15" s="21"/>
      <x:c r="D15" s="21"/>
      <x:c r="E15" s="21"/>
    </x:row>
    <x:row r="16" ht="24" hidden="0" customHeight="1">
      <x:c r="A16" s="32" t="str">
        <x:v>Exactly 15 test cases</x:v>
      </x:c>
      <x:c r="B16" s="32" t="str">
        <x:f>IF(B5=15,"OK","CHECK")</x:f>
        <x:v>OK</x:v>
      </x:c>
      <x:c r="C16" s="21"/>
      <x:c r="D16" s="21"/>
      <x:c r="E16" s="21"/>
    </x:row>
    <x:row r="17" ht="36" hidden="0" customHeight="1">
      <x:c r="A17" s="32" t="str">
        <x:v>At least 3 student edge cases</x:v>
      </x:c>
      <x:c r="B17" s="32" t="str">
        <x:f>IF(B12&gt;=3,"OK","PENDING")</x:f>
        <x:v>OK</x:v>
      </x:c>
      <x:c r="C17" s="21"/>
      <x:c r="D17" s="21"/>
      <x:c r="E17" s="21"/>
    </x:row>
    <x:row r="18" ht="60" hidden="0" customHeight="1">
      <x:c r="A18" s="32" t="str">
        <x:v>At least 5 executed tests with video evidence</x:v>
      </x:c>
      <x:c r="B18" s="32" t="str">
        <x:f>IF(COUNTIFS(Checklist!D14:D28,"Yes",Checklist!F14:F28,"Yes")&gt;=5,"OK","PENDING")</x:f>
        <x:v>OK</x:v>
      </x:c>
      <x:c r="C18" s="21"/>
      <x:c r="D18" s="21"/>
      <x:c r="E18" s="21"/>
    </x:row>
    <x:row r="19" ht="72" hidden="0" customHeight="1">
      <x:c r="A19" s="32" t="str">
        <x:v>Executed results categorized</x:v>
      </x:c>
      <x:c r="B19" s="32" t="str">
        <x:v>OK</x:v>
      </x:c>
      <x:c r="C19" s="21"/>
      <x:c r="D19" s="21"/>
      <x:c r="E19" s="21"/>
    </x:row>
    <x:row r="20">
      <x:c r="A20" t="str">
        <x:v>All failed observations logged as Issues</x:v>
      </x:c>
      <x:c r="B20" t="str">
        <x:v>OK (7/7)</x:v>
      </x:c>
    </x:row>
  </x:sheetData>
  <x:conditionalFormatting sqref="B16:B19">
    <x:cfRule type="containsText" dxfId="3" priority="1" operator="containsText" text="OK"/>
    <x:cfRule type="containsText" dxfId="4" priority="2" operator="containsText" text="PENDING"/>
    <x:cfRule type="containsText" dxfId="5" priority="3" operator="containsText" text="CHECK"/>
  </x:conditionalFormatting>
  <x:pageMargins left="0.7" right="0.7" top="0.75" bottom="0.75" header="0.3" footer="0.3"/>
</x:worksheet>
</file>